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pe Log" sheetId="1" state="visible" r:id="rId1"/>
  </sheets>
  <definedNames>
    <definedName name="_xlnm._FilterDatabase" localSheetId="0" hidden="1">'Tape Log'!$A$3:$E$36</definedName>
    <definedName name="_xlnm.Print_Titles" localSheetId="0">'Tape Log'!$3:$3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BBBBB"/>
      </bottom>
    </border>
    <border>
      <top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1" pivotButton="0" quotePrefix="0" xfId="0"/>
    <xf numFmtId="0" fontId="4" fillId="3" borderId="1" pivotButton="0" quotePrefix="0" xfId="0"/>
    <xf numFmtId="46" fontId="4" fillId="0" borderId="1" pivotButton="0" quotePrefix="0" xfId="0"/>
    <xf numFmtId="4" fontId="4" fillId="0" borderId="1" pivotButton="0" quotePrefix="0" xfId="0"/>
    <xf numFmtId="0" fontId="4" fillId="0" borderId="1" pivotButton="0" quotePrefix="0" xfId="0"/>
    <xf numFmtId="0" fontId="5" fillId="0" borderId="2" pivotButton="0" quotePrefix="0" xfId="0"/>
    <xf numFmtId="46" fontId="5" fillId="0" borderId="2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4" customWidth="1" min="4" max="4"/>
    <col width="60" customWidth="1" min="5" max="5"/>
  </cols>
  <sheetData>
    <row r="1">
      <c r="A1" s="1" t="inlineStr">
        <is>
          <t>KMJ VHS Digitization Log</t>
        </is>
      </c>
    </row>
    <row r="2">
      <c r="A2" s="2" t="n"/>
    </row>
    <row r="3">
      <c r="A3" s="3" t="inlineStr">
        <is>
          <t>Barcode #</t>
        </is>
      </c>
      <c r="B3" s="3" t="inlineStr">
        <is>
          <t>Description</t>
        </is>
      </c>
      <c r="C3" s="3" t="inlineStr">
        <is>
          <t>Length</t>
        </is>
      </c>
      <c r="D3" s="3" t="inlineStr">
        <is>
          <t>File Size (GB)</t>
        </is>
      </c>
      <c r="E3" s="3" t="inlineStr">
        <is>
          <t>Notes</t>
        </is>
      </c>
    </row>
    <row r="4">
      <c r="A4" s="4" t="n">
        <v>264522</v>
      </c>
      <c r="B4" s="5" t="n"/>
      <c r="C4" s="6" t="n">
        <v>0.08130787037037036</v>
      </c>
      <c r="D4" s="7" t="n">
        <v>99.51000000000001</v>
      </c>
      <c r="E4" s="8" t="inlineStr"/>
    </row>
    <row r="5">
      <c r="A5" s="4" t="n">
        <v>264523</v>
      </c>
      <c r="B5" s="5" t="n"/>
      <c r="C5" s="6" t="n">
        <v>0.03144675925925926</v>
      </c>
      <c r="D5" s="7" t="n">
        <v>39.43</v>
      </c>
      <c r="E5" s="8" t="inlineStr"/>
    </row>
    <row r="6">
      <c r="A6" s="4" t="n">
        <v>264524</v>
      </c>
      <c r="B6" s="5" t="n"/>
      <c r="C6" s="6" t="n">
        <v>0.004085648148148148</v>
      </c>
      <c r="D6" s="7" t="n">
        <v>5.06</v>
      </c>
      <c r="E6" s="8" t="inlineStr"/>
    </row>
    <row r="7">
      <c r="A7" s="4" t="n">
        <v>264525</v>
      </c>
      <c r="B7" s="5" t="n"/>
      <c r="C7" s="6" t="n">
        <v>0.08260416666666667</v>
      </c>
      <c r="D7" s="7" t="n">
        <v>102.65</v>
      </c>
      <c r="E7" s="8" t="inlineStr"/>
    </row>
    <row r="8">
      <c r="A8" s="4" t="n">
        <v>264526</v>
      </c>
      <c r="B8" s="5" t="n"/>
      <c r="C8" s="6" t="n">
        <v>0.1256944444444444</v>
      </c>
      <c r="D8" s="7" t="n">
        <v>156.49</v>
      </c>
      <c r="E8" s="8" t="inlineStr"/>
    </row>
    <row r="9">
      <c r="A9" s="4" t="n">
        <v>264527</v>
      </c>
      <c r="B9" s="5" t="n"/>
      <c r="C9" s="6" t="n">
        <v>0.04659722222222222</v>
      </c>
      <c r="D9" s="7" t="n">
        <v>57.99</v>
      </c>
      <c r="E9" s="8" t="inlineStr"/>
    </row>
    <row r="10">
      <c r="A10" s="4" t="n">
        <v>264528</v>
      </c>
      <c r="B10" s="5" t="n"/>
      <c r="C10" s="6" t="n">
        <v>0.08125</v>
      </c>
      <c r="D10" s="7" t="n">
        <v>100.76</v>
      </c>
      <c r="E10" s="8" t="inlineStr"/>
    </row>
    <row r="11">
      <c r="A11" s="4" t="n">
        <v>264530</v>
      </c>
      <c r="B11" s="5" t="n"/>
      <c r="C11" s="6" t="n">
        <v>0.0880787037037037</v>
      </c>
      <c r="D11" s="7" t="n">
        <v>111.16</v>
      </c>
      <c r="E11" s="8" t="inlineStr"/>
    </row>
    <row r="12">
      <c r="A12" s="4" t="n">
        <v>264531</v>
      </c>
      <c r="B12" s="5" t="n"/>
      <c r="C12" s="6" t="n">
        <v>0.003263888888888889</v>
      </c>
      <c r="D12" s="7" t="n">
        <v>4.07</v>
      </c>
      <c r="E12" s="8" t="inlineStr"/>
    </row>
    <row r="13">
      <c r="A13" s="4" t="n">
        <v>264532</v>
      </c>
      <c r="B13" s="5" t="n"/>
      <c r="C13" s="6" t="n">
        <v>0.09322916666666667</v>
      </c>
      <c r="D13" s="7" t="n">
        <v>106.25</v>
      </c>
      <c r="E13" s="8" t="inlineStr"/>
    </row>
    <row r="14">
      <c r="A14" s="4" t="n">
        <v>264533</v>
      </c>
      <c r="B14" s="5" t="n"/>
      <c r="C14" s="6" t="n">
        <v>0.2581018518518519</v>
      </c>
      <c r="D14" s="7" t="n">
        <v>321.08</v>
      </c>
      <c r="E14" s="8" t="inlineStr"/>
    </row>
    <row r="15">
      <c r="A15" s="4" t="n">
        <v>264534</v>
      </c>
      <c r="B15" s="5" t="n"/>
      <c r="C15" s="6" t="n">
        <v>0.200787037037037</v>
      </c>
      <c r="D15" s="7" t="n">
        <v>249.27</v>
      </c>
      <c r="E15" s="8" t="inlineStr"/>
    </row>
    <row r="16">
      <c r="A16" s="4" t="n">
        <v>264535</v>
      </c>
      <c r="B16" s="5" t="n"/>
      <c r="C16" s="6" t="n">
        <v>0.2268287037037037</v>
      </c>
      <c r="D16" s="7" t="n">
        <v>282.1</v>
      </c>
      <c r="E16" s="8" t="inlineStr"/>
    </row>
    <row r="17">
      <c r="A17" s="4" t="n">
        <v>264536</v>
      </c>
      <c r="B17" s="5" t="n"/>
      <c r="C17" s="6" t="n">
        <v>0.1615740740740741</v>
      </c>
      <c r="D17" s="7" t="n">
        <v>201.8</v>
      </c>
      <c r="E17" s="8" t="inlineStr"/>
    </row>
    <row r="18">
      <c r="A18" s="4" t="n">
        <v>264537</v>
      </c>
      <c r="B18" s="5" t="n"/>
      <c r="C18" s="6" t="n">
        <v>0.1662037037037037</v>
      </c>
      <c r="D18" s="7" t="n">
        <v>206.7</v>
      </c>
      <c r="E18" s="8" t="inlineStr"/>
    </row>
    <row r="19">
      <c r="A19" s="4" t="n">
        <v>264538</v>
      </c>
      <c r="B19" s="5" t="n"/>
      <c r="C19" s="6" t="n">
        <v>0.1738194444444444</v>
      </c>
      <c r="D19" s="7" t="n">
        <v>216.57</v>
      </c>
      <c r="E19" s="8" t="inlineStr"/>
    </row>
    <row r="20">
      <c r="A20" s="4" t="n">
        <v>264539</v>
      </c>
      <c r="B20" s="5" t="n"/>
      <c r="C20" s="6" t="n">
        <v>0.1583796296296296</v>
      </c>
      <c r="D20" s="7" t="n">
        <v>195.35</v>
      </c>
      <c r="E20" s="8" t="inlineStr"/>
    </row>
    <row r="21">
      <c r="A21" s="4" t="n">
        <v>264540</v>
      </c>
      <c r="B21" s="5" t="n"/>
      <c r="C21" s="6" t="n">
        <v>0.1038773148148148</v>
      </c>
      <c r="D21" s="7" t="n">
        <v>127.99</v>
      </c>
      <c r="E21" s="8" t="inlineStr"/>
    </row>
    <row r="22">
      <c r="A22" s="4" t="n">
        <v>264541</v>
      </c>
      <c r="B22" s="5" t="n"/>
      <c r="C22" s="6" t="n">
        <v>0.2556597222222222</v>
      </c>
      <c r="D22" s="7" t="n">
        <v>317.17</v>
      </c>
      <c r="E22" s="8" t="inlineStr"/>
    </row>
    <row r="23">
      <c r="A23" s="4" t="n">
        <v>264542</v>
      </c>
      <c r="B23" s="5" t="n"/>
      <c r="C23" s="6" t="n">
        <v>0.1752546296296296</v>
      </c>
      <c r="D23" s="7" t="n">
        <v>221.91</v>
      </c>
      <c r="E23" s="8" t="inlineStr"/>
    </row>
    <row r="24">
      <c r="A24" s="4" t="n">
        <v>264543</v>
      </c>
      <c r="B24" s="5" t="n"/>
      <c r="C24" s="6" t="n">
        <v>0.002418981481481482</v>
      </c>
      <c r="D24" s="7" t="n">
        <v>3.1</v>
      </c>
      <c r="E24" s="8" t="inlineStr"/>
    </row>
    <row r="25">
      <c r="A25" s="4" t="n">
        <v>264544</v>
      </c>
      <c r="B25" s="5" t="n"/>
      <c r="C25" s="6" t="n">
        <v>0.08690972222222222</v>
      </c>
      <c r="D25" s="7" t="n">
        <v>105.52</v>
      </c>
      <c r="E25" s="8" t="inlineStr"/>
    </row>
    <row r="26">
      <c r="A26" s="4" t="n">
        <v>264545</v>
      </c>
      <c r="B26" s="5" t="n"/>
      <c r="C26" s="6" t="n">
        <v>0.002488425925925926</v>
      </c>
      <c r="D26" s="7" t="n">
        <v>3.17</v>
      </c>
      <c r="E26" s="8" t="inlineStr"/>
    </row>
    <row r="27">
      <c r="A27" s="4" t="n">
        <v>264546</v>
      </c>
      <c r="B27" s="5" t="n"/>
      <c r="C27" s="6" t="n">
        <v>0.08737268518518519</v>
      </c>
      <c r="D27" s="7" t="n">
        <v>106.25</v>
      </c>
      <c r="E27" s="8" t="inlineStr"/>
    </row>
    <row r="28">
      <c r="A28" s="4" t="n">
        <v>264547</v>
      </c>
      <c r="B28" s="5" t="n"/>
      <c r="C28" s="6" t="n">
        <v>0.02819444444444445</v>
      </c>
      <c r="D28" s="7" t="n">
        <v>34.39</v>
      </c>
      <c r="E28" s="8" t="inlineStr"/>
    </row>
    <row r="29">
      <c r="A29" s="4" t="n">
        <v>264548</v>
      </c>
      <c r="B29" s="5" t="n"/>
      <c r="C29" s="6" t="n">
        <v>0.03559027777777778</v>
      </c>
      <c r="D29" s="7" t="n">
        <v>44.79</v>
      </c>
      <c r="E29" s="8" t="inlineStr"/>
    </row>
    <row r="30">
      <c r="A30" s="4" t="n">
        <v>264549</v>
      </c>
      <c r="B30" s="5" t="n"/>
      <c r="C30" s="6" t="n">
        <v>0.07180555555555555</v>
      </c>
      <c r="D30" s="7" t="n">
        <v>92.3</v>
      </c>
      <c r="E30" s="8" t="inlineStr"/>
    </row>
    <row r="31">
      <c r="A31" s="4" t="n">
        <v>264550</v>
      </c>
      <c r="B31" s="5" t="n"/>
      <c r="C31" s="6" t="n">
        <v>0.07075231481481481</v>
      </c>
      <c r="D31" s="7" t="n">
        <v>90.95</v>
      </c>
      <c r="E31" s="8" t="inlineStr"/>
    </row>
    <row r="32">
      <c r="A32" s="4" t="n">
        <v>264551</v>
      </c>
      <c r="B32" s="5" t="n"/>
      <c r="C32" s="6" t="n">
        <v>0.00974537037037037</v>
      </c>
      <c r="D32" s="7" t="n">
        <v>12.42</v>
      </c>
      <c r="E32" s="8" t="inlineStr"/>
    </row>
    <row r="33">
      <c r="A33" s="4" t="n">
        <v>264552</v>
      </c>
      <c r="B33" s="5" t="n"/>
      <c r="C33" s="6" t="n">
        <v>0.02221064814814815</v>
      </c>
      <c r="D33" s="7" t="n">
        <v>27.39</v>
      </c>
      <c r="E33" s="8" t="inlineStr"/>
    </row>
    <row r="34">
      <c r="A34" s="4" t="n">
        <v>264553</v>
      </c>
      <c r="B34" s="5" t="n"/>
      <c r="C34" s="6" t="n">
        <v>0.04520833333333334</v>
      </c>
      <c r="D34" s="7" t="n">
        <v>57.47</v>
      </c>
      <c r="E34" s="8" t="inlineStr"/>
    </row>
    <row r="35">
      <c r="A35" s="4" t="n">
        <v>264554</v>
      </c>
      <c r="B35" s="5" t="n"/>
      <c r="C35" s="6" t="n">
        <v>0.04619212962962963</v>
      </c>
      <c r="D35" s="7" t="n">
        <v>57.22</v>
      </c>
      <c r="E35" s="8" t="inlineStr">
        <is>
          <t>No audio on source tape.</t>
        </is>
      </c>
    </row>
    <row r="36">
      <c r="A36" s="4" t="n">
        <v>264555</v>
      </c>
      <c r="B36" s="5" t="n"/>
      <c r="C36" s="6" t="n">
        <v>0.04660879629629629</v>
      </c>
      <c r="D36" s="7" t="n">
        <v>58.05</v>
      </c>
      <c r="E36" s="8" t="inlineStr"/>
    </row>
    <row r="37">
      <c r="A37" s="9" t="inlineStr">
        <is>
          <t>TOTAL</t>
        </is>
      </c>
      <c r="B37" s="9">
        <f>COUNTA(A4:A36)&amp;" tapes"</f>
        <v/>
      </c>
      <c r="C37" s="10">
        <f>SUM(C4:C36)</f>
        <v/>
      </c>
      <c r="D37" s="11">
        <f>SUM(D4:D36)</f>
        <v/>
      </c>
      <c r="E37" s="9">
        <f>TEXT(D37/1024,"0.00")&amp;" TB total"</f>
        <v/>
      </c>
    </row>
  </sheetData>
  <autoFilter ref="A3:E3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2026-09-29T19:27:27Z</dcterms:created>
  <dcterms:modified xsi:type="dcterms:W3CDTF">2026-09-29T19:27:27Z</dcterms:modified>
</cp:coreProperties>
</file>