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pe Log" sheetId="1" state="visible" r:id="rId1"/>
  </sheets>
  <definedNames>
    <definedName name="_xlnm._FilterDatabase" localSheetId="0" hidden="1">'Tape Log'!$A$4:$F$37</definedName>
    <definedName name="_xlnm.Print_Titles" localSheetId="0">'Tape Log'!$4:$4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444444"/>
      <sz val="9"/>
    </font>
    <font>
      <name val="Arial"/>
      <color rgb="00444444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thin">
        <color rgb="00BBBBBB"/>
      </bottom>
    </border>
    <border>
      <top style="medium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" fontId="4" fillId="0" borderId="1" pivotButton="0" quotePrefix="0" xfId="0"/>
    <xf numFmtId="0" fontId="4" fillId="3" borderId="1" pivotButton="0" quotePrefix="0" xfId="0"/>
    <xf numFmtId="46" fontId="4" fillId="3" borderId="1" pivotButton="0" quotePrefix="0" xfId="0"/>
    <xf numFmtId="4" fontId="4" fillId="0" borderId="1" pivotButton="0" quotePrefix="0" xfId="0"/>
    <xf numFmtId="3" fontId="4" fillId="3" borderId="1" pivotButton="0" quotePrefix="0" xfId="0"/>
    <xf numFmtId="0" fontId="4" fillId="0" borderId="1" pivotButton="0" quotePrefix="0" xfId="0"/>
    <xf numFmtId="46" fontId="4" fillId="0" borderId="1" pivotButton="0" quotePrefix="0" xfId="0"/>
    <xf numFmtId="3" fontId="4" fillId="0" borderId="1" pivotButton="0" quotePrefix="0" xfId="0"/>
    <xf numFmtId="0" fontId="5" fillId="0" borderId="2" pivotButton="0" quotePrefix="0" xfId="0"/>
    <xf numFmtId="46" fontId="5" fillId="0" borderId="2" pivotButton="0" quotePrefix="0" xfId="0"/>
    <xf numFmtId="4" fontId="5" fillId="0" borderId="2" pivotButton="0" quotePrefix="0" xfId="0"/>
    <xf numFmtId="3" fontId="5" fillId="0" borderId="2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Claude</author>
  </authors>
  <commentList>
    <comment ref="E6" authorId="0" shapeId="0">
      <text>
        <t>Last digit was cut off in Explorer; entered as 0 (off by &lt;10 KB). Replace with exact value if needed.</t>
      </text>
    </comment>
    <comment ref="E9" authorId="0" shapeId="0">
      <text>
        <t>Last digit was cut off in Explorer; entered as 0 (off by &lt;10 KB). Replace with exact value if needed.</t>
      </text>
    </comment>
    <comment ref="E10" authorId="0" shapeId="0">
      <text>
        <t>Last digit was cut off in Explorer; entered as 0 (off by &lt;10 KB). Replace with exact value if needed.</t>
      </text>
    </comment>
    <comment ref="E12" authorId="0" shapeId="0">
      <text>
        <t>Last digit was cut off in Explorer; entered as 0 (off by &lt;10 KB). Replace with exact value if needed.</t>
      </text>
    </comment>
    <comment ref="E13" authorId="0" shapeId="0">
      <text>
        <t>Last digit was cut off in Explorer; entered as 0 (off by &lt;10 KB). Replace with exact value if needed.</t>
      </text>
    </comment>
    <comment ref="E15" authorId="0" shapeId="0">
      <text>
        <t>Last digit was cut off in Explorer; entered as 0 (off by &lt;10 KB). Replace with exact value if needed.</t>
      </text>
    </comment>
    <comment ref="E16" authorId="0" shapeId="0">
      <text>
        <t>Last digit was cut off in Explorer; entered as 0 (off by &lt;10 KB). Replace with exact value if needed.</t>
      </text>
    </comment>
    <comment ref="E17" authorId="0" shapeId="0">
      <text>
        <t>Last digit was cut off in Explorer; entered as 0 (off by &lt;10 KB). Replace with exact value if needed.</t>
      </text>
    </comment>
    <comment ref="E18" authorId="0" shapeId="0">
      <text>
        <t>Last digit was cut off in Explorer; entered as 0 (off by &lt;10 KB). Replace with exact value if needed.</t>
      </text>
    </comment>
    <comment ref="E19" authorId="0" shapeId="0">
      <text>
        <t>Last digit was cut off in Explorer; entered as 0 (off by &lt;10 KB). Replace with exact value if needed.</t>
      </text>
    </comment>
    <comment ref="E20" authorId="0" shapeId="0">
      <text>
        <t>Last digit was cut off in Explorer; entered as 0 (off by &lt;10 KB). Replace with exact value if needed.</t>
      </text>
    </comment>
    <comment ref="E21" authorId="0" shapeId="0">
      <text>
        <t>Last digit was cut off in Explorer; entered as 0 (off by &lt;10 KB). Replace with exact value if needed.</t>
      </text>
    </comment>
    <comment ref="E22" authorId="0" shapeId="0">
      <text>
        <t>Last digit was cut off in Explorer; entered as 0 (off by &lt;10 KB). Replace with exact value if needed.</t>
      </text>
    </comment>
    <comment ref="E23" authorId="0" shapeId="0">
      <text>
        <t>Last digit was cut off in Explorer; entered as 0 (off by &lt;10 KB). Replace with exact value if needed.</t>
      </text>
    </comment>
    <comment ref="E24" authorId="0" shapeId="0">
      <text>
        <t>Last digit was cut off in Explorer; entered as 0 (off by &lt;10 KB). Replace with exact value if needed.</t>
      </text>
    </comment>
    <comment ref="E26" authorId="0" shapeId="0">
      <text>
        <t>Last digit was cut off in Explorer; entered as 0 (off by &lt;10 KB). Replace with exact value if needed.</t>
      </text>
    </comment>
    <comment ref="E28" authorId="0" shapeId="0">
      <text>
        <t>Last digit was cut off in Explorer; entered as 0 (off by &lt;10 KB). Replace with exact value if needed.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1" customWidth="1" min="3" max="3"/>
    <col width="11" customWidth="1" min="4" max="4"/>
    <col width="16" customWidth="1" min="5" max="5"/>
    <col width="55" customWidth="1" min="6" max="6"/>
  </cols>
  <sheetData>
    <row r="1">
      <c r="A1" s="1" t="inlineStr">
        <is>
          <t>Khloe – VHS Digitization Log (ProRes .mov)</t>
        </is>
      </c>
    </row>
    <row r="2">
      <c r="A2" s="2" t="inlineStr">
        <is>
          <t>Source: Internal Media 20TB (F:)\Khloe Final ProRes Files — values transcribed from Windows Explorer screenshots, 9/29/2026</t>
        </is>
      </c>
    </row>
    <row r="4">
      <c r="A4" s="3" t="inlineStr">
        <is>
          <t>Barcode #</t>
        </is>
      </c>
      <c r="B4" s="3" t="inlineStr">
        <is>
          <t>Description</t>
        </is>
      </c>
      <c r="C4" s="3" t="inlineStr">
        <is>
          <t>Length</t>
        </is>
      </c>
      <c r="D4" s="3" t="inlineStr">
        <is>
          <t>Size (GB)</t>
        </is>
      </c>
      <c r="E4" s="3" t="inlineStr">
        <is>
          <t>File Size (KB)</t>
        </is>
      </c>
      <c r="F4" s="3" t="inlineStr">
        <is>
          <t>Notes</t>
        </is>
      </c>
    </row>
    <row r="5">
      <c r="A5" s="4" t="n">
        <v>264435</v>
      </c>
      <c r="B5" s="5" t="n"/>
      <c r="C5" s="6" t="n"/>
      <c r="D5" s="7">
        <f>IF(E5="","",E5/1048576)</f>
        <v/>
      </c>
      <c r="E5" s="8" t="n"/>
      <c r="F5" s="9" t="inlineStr">
        <is>
          <t>Length pending; File size pending; Out of sequence – possibly meant to be 264535 (missing from list)? Verify barcode.</t>
        </is>
      </c>
    </row>
    <row r="6">
      <c r="A6" s="4" t="n">
        <v>264522</v>
      </c>
      <c r="B6" s="5" t="n"/>
      <c r="C6" s="10" t="n">
        <v>0.08130787037037036</v>
      </c>
      <c r="D6" s="7">
        <f>IF(E6="","",E6/1048576)</f>
        <v/>
      </c>
      <c r="E6" s="11" t="n">
        <v>104339010</v>
      </c>
      <c r="F6" s="9" t="inlineStr"/>
    </row>
    <row r="7">
      <c r="A7" s="4" t="n">
        <v>264523</v>
      </c>
      <c r="B7" s="5" t="n"/>
      <c r="C7" s="10" t="n">
        <v>0.03144675925925926</v>
      </c>
      <c r="D7" s="7">
        <f>IF(E7="","",E7/1048576)</f>
        <v/>
      </c>
      <c r="E7" s="11" t="n">
        <v>41343940</v>
      </c>
      <c r="F7" s="9" t="inlineStr"/>
    </row>
    <row r="8">
      <c r="A8" s="4" t="n">
        <v>264524</v>
      </c>
      <c r="B8" s="5" t="n"/>
      <c r="C8" s="10" t="n">
        <v>0.004085648148148148</v>
      </c>
      <c r="D8" s="7">
        <f>IF(E8="","",E8/1048576)</f>
        <v/>
      </c>
      <c r="E8" s="11" t="n">
        <v>5303859</v>
      </c>
      <c r="F8" s="9" t="inlineStr"/>
    </row>
    <row r="9">
      <c r="A9" s="4" t="n">
        <v>264525</v>
      </c>
      <c r="B9" s="5" t="n"/>
      <c r="C9" s="10" t="n">
        <v>0.08260416666666667</v>
      </c>
      <c r="D9" s="7">
        <f>IF(E9="","",E9/1048576)</f>
        <v/>
      </c>
      <c r="E9" s="11" t="n">
        <v>107631480</v>
      </c>
      <c r="F9" s="9" t="inlineStr"/>
    </row>
    <row r="10">
      <c r="A10" s="4" t="n">
        <v>264526</v>
      </c>
      <c r="B10" s="5" t="n"/>
      <c r="C10" s="10" t="n">
        <v>0.1256944444444444</v>
      </c>
      <c r="D10" s="7">
        <f>IF(E10="","",E10/1048576)</f>
        <v/>
      </c>
      <c r="E10" s="11" t="n">
        <v>164086750</v>
      </c>
      <c r="F10" s="9" t="inlineStr"/>
    </row>
    <row r="11">
      <c r="A11" s="4" t="n">
        <v>264527</v>
      </c>
      <c r="B11" s="5" t="n"/>
      <c r="C11" s="10" t="n">
        <v>0.04659722222222222</v>
      </c>
      <c r="D11" s="7">
        <f>IF(E11="","",E11/1048576)</f>
        <v/>
      </c>
      <c r="E11" s="11" t="n">
        <v>60802001</v>
      </c>
      <c r="F11" s="9" t="inlineStr"/>
    </row>
    <row r="12">
      <c r="A12" s="4" t="n">
        <v>264528</v>
      </c>
      <c r="B12" s="5" t="n"/>
      <c r="C12" s="10" t="n">
        <v>0.08125</v>
      </c>
      <c r="D12" s="7">
        <f>IF(E12="","",E12/1048576)</f>
        <v/>
      </c>
      <c r="E12" s="11" t="n">
        <v>105659550</v>
      </c>
      <c r="F12" s="9" t="inlineStr"/>
    </row>
    <row r="13">
      <c r="A13" s="4" t="n">
        <v>264530</v>
      </c>
      <c r="B13" s="5" t="n"/>
      <c r="C13" s="10" t="n">
        <v>0.0880787037037037</v>
      </c>
      <c r="D13" s="7">
        <f>IF(E13="","",E13/1048576)</f>
        <v/>
      </c>
      <c r="E13" s="11" t="n">
        <v>116554860</v>
      </c>
      <c r="F13" s="9" t="inlineStr"/>
    </row>
    <row r="14">
      <c r="A14" s="4" t="n">
        <v>264531</v>
      </c>
      <c r="B14" s="5" t="n"/>
      <c r="C14" s="10" t="n">
        <v>0.003263888888888889</v>
      </c>
      <c r="D14" s="7">
        <f>IF(E14="","",E14/1048576)</f>
        <v/>
      </c>
      <c r="E14" s="11" t="n">
        <v>4271085</v>
      </c>
      <c r="F14" s="9" t="inlineStr"/>
    </row>
    <row r="15">
      <c r="A15" s="4" t="n">
        <v>264532</v>
      </c>
      <c r="B15" s="5" t="n"/>
      <c r="C15" s="10" t="n">
        <v>0.09322916666666667</v>
      </c>
      <c r="D15" s="7">
        <f>IF(E15="","",E15/1048576)</f>
        <v/>
      </c>
      <c r="E15" s="11" t="n">
        <v>111412750</v>
      </c>
      <c r="F15" s="9" t="inlineStr"/>
    </row>
    <row r="16">
      <c r="A16" s="4" t="n">
        <v>264533</v>
      </c>
      <c r="B16" s="5" t="n"/>
      <c r="C16" s="10" t="n">
        <v>0.2581018518518519</v>
      </c>
      <c r="D16" s="7">
        <f>IF(E16="","",E16/1048576)</f>
        <v/>
      </c>
      <c r="E16" s="11" t="n">
        <v>336680130</v>
      </c>
      <c r="F16" s="9" t="inlineStr"/>
    </row>
    <row r="17">
      <c r="A17" s="4" t="n">
        <v>264534</v>
      </c>
      <c r="B17" s="5" t="n"/>
      <c r="C17" s="10" t="n">
        <v>0.200787037037037</v>
      </c>
      <c r="D17" s="7">
        <f>IF(E17="","",E17/1048576)</f>
        <v/>
      </c>
      <c r="E17" s="11" t="n">
        <v>261374190</v>
      </c>
      <c r="F17" s="9" t="inlineStr"/>
    </row>
    <row r="18">
      <c r="A18" s="4" t="n">
        <v>264536</v>
      </c>
      <c r="B18" s="5" t="n"/>
      <c r="C18" s="10" t="n">
        <v>0.1615740740740741</v>
      </c>
      <c r="D18" s="7">
        <f>IF(E18="","",E18/1048576)</f>
        <v/>
      </c>
      <c r="E18" s="11" t="n">
        <v>211604860</v>
      </c>
      <c r="F18" s="9" t="inlineStr"/>
    </row>
    <row r="19">
      <c r="A19" s="4" t="n">
        <v>264537</v>
      </c>
      <c r="B19" s="5" t="n"/>
      <c r="C19" s="10" t="n">
        <v>0.1662037037037037</v>
      </c>
      <c r="D19" s="7">
        <f>IF(E19="","",E19/1048576)</f>
        <v/>
      </c>
      <c r="E19" s="11" t="n">
        <v>216744800</v>
      </c>
      <c r="F19" s="9" t="inlineStr"/>
    </row>
    <row r="20">
      <c r="A20" s="4" t="n">
        <v>264538</v>
      </c>
      <c r="B20" s="5" t="n"/>
      <c r="C20" s="10" t="n">
        <v>0.1738194444444444</v>
      </c>
      <c r="D20" s="7">
        <f>IF(E20="","",E20/1048576)</f>
        <v/>
      </c>
      <c r="E20" s="11" t="n">
        <v>227090670</v>
      </c>
      <c r="F20" s="9" t="inlineStr"/>
    </row>
    <row r="21">
      <c r="A21" s="4" t="n">
        <v>264539</v>
      </c>
      <c r="B21" s="5" t="n"/>
      <c r="C21" s="10" t="n">
        <v>0.1583796296296296</v>
      </c>
      <c r="D21" s="7">
        <f>IF(E21="","",E21/1048576)</f>
        <v/>
      </c>
      <c r="E21" s="11" t="n">
        <v>204842580</v>
      </c>
      <c r="F21" s="9" t="inlineStr"/>
    </row>
    <row r="22">
      <c r="A22" s="4" t="n">
        <v>264540</v>
      </c>
      <c r="B22" s="5" t="n"/>
      <c r="C22" s="10" t="n">
        <v>0.1038773148148148</v>
      </c>
      <c r="D22" s="7">
        <f>IF(E22="","",E22/1048576)</f>
        <v/>
      </c>
      <c r="E22" s="11" t="n">
        <v>134207210</v>
      </c>
      <c r="F22" s="9" t="inlineStr"/>
    </row>
    <row r="23">
      <c r="A23" s="4" t="n">
        <v>264541</v>
      </c>
      <c r="B23" s="5" t="n"/>
      <c r="C23" s="10" t="n">
        <v>0.2556597222222222</v>
      </c>
      <c r="D23" s="7">
        <f>IF(E23="","",E23/1048576)</f>
        <v/>
      </c>
      <c r="E23" s="11" t="n">
        <v>332573120</v>
      </c>
      <c r="F23" s="9" t="inlineStr"/>
    </row>
    <row r="24">
      <c r="A24" s="4" t="n">
        <v>264542</v>
      </c>
      <c r="B24" s="5" t="n"/>
      <c r="C24" s="10" t="n">
        <v>0.1752546296296296</v>
      </c>
      <c r="D24" s="7">
        <f>IF(E24="","",E24/1048576)</f>
        <v/>
      </c>
      <c r="E24" s="11" t="n">
        <v>232685580</v>
      </c>
      <c r="F24" s="9" t="inlineStr"/>
    </row>
    <row r="25">
      <c r="A25" s="4" t="n">
        <v>264543</v>
      </c>
      <c r="B25" s="5" t="n"/>
      <c r="C25" s="10" t="n">
        <v>0.002418981481481482</v>
      </c>
      <c r="D25" s="7">
        <f>IF(E25="","",E25/1048576)</f>
        <v/>
      </c>
      <c r="E25" s="11" t="n">
        <v>3255693</v>
      </c>
      <c r="F25" s="9" t="inlineStr"/>
    </row>
    <row r="26">
      <c r="A26" s="4" t="n">
        <v>264544</v>
      </c>
      <c r="B26" s="5" t="n"/>
      <c r="C26" s="10" t="n">
        <v>0.08690972222222222</v>
      </c>
      <c r="D26" s="7">
        <f>IF(E26="","",E26/1048576)</f>
        <v/>
      </c>
      <c r="E26" s="11" t="n">
        <v>110644070</v>
      </c>
      <c r="F26" s="9" t="inlineStr"/>
    </row>
    <row r="27">
      <c r="A27" s="4" t="n">
        <v>264545</v>
      </c>
      <c r="B27" s="5" t="n"/>
      <c r="C27" s="10" t="n">
        <v>0.002488425925925926</v>
      </c>
      <c r="D27" s="7">
        <f>IF(E27="","",E27/1048576)</f>
        <v/>
      </c>
      <c r="E27" s="11" t="n">
        <v>3327299</v>
      </c>
      <c r="F27" s="9" t="inlineStr"/>
    </row>
    <row r="28">
      <c r="A28" s="4" t="n">
        <v>264546</v>
      </c>
      <c r="B28" s="5" t="n"/>
      <c r="C28" s="10" t="n">
        <v>0.08737268518518519</v>
      </c>
      <c r="D28" s="7">
        <f>IF(E28="","",E28/1048576)</f>
        <v/>
      </c>
      <c r="E28" s="11" t="n">
        <v>111408390</v>
      </c>
      <c r="F28" s="9" t="inlineStr"/>
    </row>
    <row r="29">
      <c r="A29" s="4" t="n">
        <v>264547</v>
      </c>
      <c r="B29" s="5" t="n"/>
      <c r="C29" s="10" t="n">
        <v>0.02819444444444445</v>
      </c>
      <c r="D29" s="7">
        <f>IF(E29="","",E29/1048576)</f>
        <v/>
      </c>
      <c r="E29" s="11" t="n">
        <v>36064668</v>
      </c>
      <c r="F29" s="9" t="inlineStr"/>
    </row>
    <row r="30">
      <c r="A30" s="4" t="n">
        <v>264548</v>
      </c>
      <c r="B30" s="5" t="n"/>
      <c r="C30" s="10" t="n">
        <v>0.03559027777777778</v>
      </c>
      <c r="D30" s="7">
        <f>IF(E30="","",E30/1048576)</f>
        <v/>
      </c>
      <c r="E30" s="11" t="n">
        <v>46962994</v>
      </c>
      <c r="F30" s="9" t="inlineStr"/>
    </row>
    <row r="31">
      <c r="A31" s="4" t="n">
        <v>264549</v>
      </c>
      <c r="B31" s="5" t="n"/>
      <c r="C31" s="10" t="n">
        <v>0.07180555555555555</v>
      </c>
      <c r="D31" s="7">
        <f>IF(E31="","",E31/1048576)</f>
        <v/>
      </c>
      <c r="E31" s="11" t="n">
        <v>96787150</v>
      </c>
      <c r="F31" s="9" t="inlineStr"/>
    </row>
    <row r="32">
      <c r="A32" s="4" t="n">
        <v>264550</v>
      </c>
      <c r="B32" s="5" t="n"/>
      <c r="C32" s="10" t="n">
        <v>0.07075231481481481</v>
      </c>
      <c r="D32" s="7">
        <f>IF(E32="","",E32/1048576)</f>
        <v/>
      </c>
      <c r="E32" s="11" t="n">
        <v>95363950</v>
      </c>
      <c r="F32" s="9" t="inlineStr"/>
    </row>
    <row r="33">
      <c r="A33" s="4" t="n">
        <v>264551</v>
      </c>
      <c r="B33" s="5" t="n"/>
      <c r="C33" s="10" t="n">
        <v>0.00974537037037037</v>
      </c>
      <c r="D33" s="7">
        <f>IF(E33="","",E33/1048576)</f>
        <v/>
      </c>
      <c r="E33" s="11" t="n">
        <v>13024655</v>
      </c>
      <c r="F33" s="9" t="inlineStr"/>
    </row>
    <row r="34">
      <c r="A34" s="4" t="n">
        <v>264552</v>
      </c>
      <c r="B34" s="5" t="n"/>
      <c r="C34" s="10" t="n">
        <v>0.02221064814814815</v>
      </c>
      <c r="D34" s="7">
        <f>IF(E34="","",E34/1048576)</f>
        <v/>
      </c>
      <c r="E34" s="11" t="n">
        <v>28722522</v>
      </c>
      <c r="F34" s="9" t="inlineStr"/>
    </row>
    <row r="35">
      <c r="A35" s="4" t="n">
        <v>264553</v>
      </c>
      <c r="B35" s="5" t="n"/>
      <c r="C35" s="10" t="n">
        <v>0.04520833333333334</v>
      </c>
      <c r="D35" s="7">
        <f>IF(E35="","",E35/1048576)</f>
        <v/>
      </c>
      <c r="E35" s="11" t="n">
        <v>60265882</v>
      </c>
      <c r="F35" s="9" t="inlineStr"/>
    </row>
    <row r="36">
      <c r="A36" s="4" t="n">
        <v>264554</v>
      </c>
      <c r="B36" s="5" t="n"/>
      <c r="C36" s="10" t="n">
        <v>0.04619212962962963</v>
      </c>
      <c r="D36" s="7">
        <f>IF(E36="","",E36/1048576)</f>
        <v/>
      </c>
      <c r="E36" s="11" t="n">
        <v>60001573</v>
      </c>
      <c r="F36" s="9" t="inlineStr"/>
    </row>
    <row r="37">
      <c r="A37" s="4" t="n">
        <v>264555</v>
      </c>
      <c r="B37" s="5" t="n"/>
      <c r="C37" s="10" t="n">
        <v>0.04660879629629629</v>
      </c>
      <c r="D37" s="7">
        <f>IF(E37="","",E37/1048576)</f>
        <v/>
      </c>
      <c r="E37" s="11" t="n">
        <v>60869791</v>
      </c>
      <c r="F37" s="9" t="inlineStr"/>
    </row>
    <row r="38">
      <c r="A38" s="12" t="inlineStr">
        <is>
          <t>TOTAL</t>
        </is>
      </c>
      <c r="B38" s="12">
        <f>COUNTA(A5:A37)&amp;" tapes"</f>
        <v/>
      </c>
      <c r="C38" s="13">
        <f>SUM(C5:C37)</f>
        <v/>
      </c>
      <c r="D38" s="14">
        <f>SUM(D5:D37)</f>
        <v/>
      </c>
      <c r="E38" s="15">
        <f>SUM(E5:E37)</f>
        <v/>
      </c>
      <c r="F38" s="12">
        <f>TEXT(D38/1024,"0.00")&amp;" TB total"</f>
        <v/>
      </c>
    </row>
    <row r="40">
      <c r="A40" s="16" t="inlineStr">
        <is>
          <t>Legend:</t>
        </is>
      </c>
    </row>
    <row r="41">
      <c r="A41" s="17" t="inlineStr">
        <is>
          <t>Yellow cells = to be filled in (descriptions, and length/size for 264435).</t>
        </is>
      </c>
    </row>
    <row r="42">
      <c r="A42" s="17" t="inlineStr">
        <is>
          <t>Size (GB) is calculated from File Size (KB) ÷ 1,048,576 — matches the GB figure Windows displays.</t>
        </is>
      </c>
    </row>
    <row r="43">
      <c r="A43" s="17" t="inlineStr">
        <is>
          <t>Cells with a red corner comment: last digit of KB value was cut off in the screenshot (error &lt; 10 KB).</t>
        </is>
      </c>
    </row>
    <row r="44">
      <c r="A44" s="17" t="inlineStr">
        <is>
          <t>Barcodes 264529 and 264535 do not appear in the file list.</t>
        </is>
      </c>
    </row>
  </sheetData>
  <autoFilter ref="A4:F37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2026-09-29T19:02:31Z</dcterms:created>
  <dcterms:modified xsi:type="dcterms:W3CDTF">2026-09-29T19:02:31Z</dcterms:modified>
</cp:coreProperties>
</file>